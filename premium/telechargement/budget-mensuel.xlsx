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6" sheetId="1" state="visible" r:id="rId1"/>
    <sheet name="Guide" sheetId="2" state="visible" r:id="rId2"/>
    <sheet name="Tableau de bord" sheetId="3" state="visible" r:id="rId3"/>
    <sheet name="Abonnements" sheetId="4" state="visible" r:id="rId4"/>
  </sheets>
  <definedNames>
    <definedName name="_xlnm._FilterDatabase" localSheetId="0" hidden="1">'Budget 2026'!$A$1:$E$97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D60A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6" fillId="3" borderId="0" pivotButton="0" quotePrefix="0" xfId="0"/>
  </cellXfs>
  <cellStyles count="1">
    <cellStyle name="Normal" xfId="0" builtinId="0" hidden="0"/>
  </cellStyles>
  <dxfs count="2">
    <dxf>
      <font>
        <b val="1"/>
        <color rgb="00DC2626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Réel dépensé par catégorie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Mois</t>
        </is>
      </c>
      <c r="B1" s="1" t="inlineStr">
        <is>
          <t>Catégorie</t>
        </is>
      </c>
      <c r="C1" s="1" t="inlineStr">
        <is>
          <t>Prévu (€)</t>
        </is>
      </c>
      <c r="D1" s="1" t="inlineStr">
        <is>
          <t>Réel (€)</t>
        </is>
      </c>
      <c r="E1" s="1" t="inlineStr">
        <is>
          <t>Écart (€)</t>
        </is>
      </c>
    </row>
    <row r="2">
      <c r="A2" s="2" t="inlineStr">
        <is>
          <t>Janvier</t>
        </is>
      </c>
      <c r="B2" s="2" t="inlineStr">
        <is>
          <t>Loyer</t>
        </is>
      </c>
      <c r="C2" s="2" t="n">
        <v>800</v>
      </c>
      <c r="D2" s="2" t="n">
        <v>0</v>
      </c>
      <c r="E2" s="2">
        <f>C2-D2</f>
        <v/>
      </c>
    </row>
    <row r="3">
      <c r="A3" s="2" t="inlineStr">
        <is>
          <t>Janvier</t>
        </is>
      </c>
      <c r="B3" s="2" t="inlineStr">
        <is>
          <t>Courses</t>
        </is>
      </c>
      <c r="C3" s="2" t="n">
        <v>350</v>
      </c>
      <c r="D3" s="2" t="n">
        <v>0</v>
      </c>
      <c r="E3" s="2">
        <f>C3-D3</f>
        <v/>
      </c>
    </row>
    <row r="4">
      <c r="A4" s="2" t="inlineStr">
        <is>
          <t>Janvier</t>
        </is>
      </c>
      <c r="B4" s="2" t="inlineStr">
        <is>
          <t>Transport</t>
        </is>
      </c>
      <c r="C4" s="2" t="n">
        <v>75</v>
      </c>
      <c r="D4" s="2" t="n">
        <v>0</v>
      </c>
      <c r="E4" s="2">
        <f>C4-D4</f>
        <v/>
      </c>
    </row>
    <row r="5">
      <c r="A5" s="2" t="inlineStr">
        <is>
          <t>Janvier</t>
        </is>
      </c>
      <c r="B5" s="2" t="inlineStr">
        <is>
          <t>Abonnements</t>
        </is>
      </c>
      <c r="C5" s="2" t="n">
        <v>60</v>
      </c>
      <c r="D5" s="2" t="n">
        <v>0</v>
      </c>
      <c r="E5" s="2">
        <f>C5-D5</f>
        <v/>
      </c>
    </row>
    <row r="6">
      <c r="A6" s="2" t="inlineStr">
        <is>
          <t>Janvier</t>
        </is>
      </c>
      <c r="B6" s="2" t="inlineStr">
        <is>
          <t>Santé</t>
        </is>
      </c>
      <c r="C6" s="2" t="n">
        <v>50</v>
      </c>
      <c r="D6" s="2" t="n">
        <v>0</v>
      </c>
      <c r="E6" s="2">
        <f>C6-D6</f>
        <v/>
      </c>
    </row>
    <row r="7">
      <c r="A7" s="2" t="inlineStr">
        <is>
          <t>Janvier</t>
        </is>
      </c>
      <c r="B7" s="2" t="inlineStr">
        <is>
          <t>Loisirs</t>
        </is>
      </c>
      <c r="C7" s="2" t="n">
        <v>100</v>
      </c>
      <c r="D7" s="2" t="n">
        <v>0</v>
      </c>
      <c r="E7" s="2">
        <f>C7-D7</f>
        <v/>
      </c>
    </row>
    <row r="8">
      <c r="A8" s="2" t="inlineStr">
        <is>
          <t>Janvier</t>
        </is>
      </c>
      <c r="B8" s="2" t="inlineStr">
        <is>
          <t>Shopping</t>
        </is>
      </c>
      <c r="C8" s="2" t="n">
        <v>80</v>
      </c>
      <c r="D8" s="2" t="n">
        <v>0</v>
      </c>
      <c r="E8" s="2">
        <f>C8-D8</f>
        <v/>
      </c>
    </row>
    <row r="9">
      <c r="A9" s="2" t="inlineStr">
        <is>
          <t>Janvier</t>
        </is>
      </c>
      <c r="B9" s="2" t="inlineStr">
        <is>
          <t>Épargne</t>
        </is>
      </c>
      <c r="C9" s="2" t="n">
        <v>150</v>
      </c>
      <c r="D9" s="2" t="n">
        <v>150</v>
      </c>
      <c r="E9" s="2">
        <f>C9-D9</f>
        <v/>
      </c>
    </row>
    <row r="10">
      <c r="A10" s="2" t="inlineStr">
        <is>
          <t>Février</t>
        </is>
      </c>
      <c r="B10" s="2" t="inlineStr">
        <is>
          <t>Loyer</t>
        </is>
      </c>
      <c r="C10" s="2" t="n">
        <v>800</v>
      </c>
      <c r="D10" s="2" t="n">
        <v>0</v>
      </c>
      <c r="E10" s="2">
        <f>C10-D10</f>
        <v/>
      </c>
    </row>
    <row r="11">
      <c r="A11" s="2" t="inlineStr">
        <is>
          <t>Février</t>
        </is>
      </c>
      <c r="B11" s="2" t="inlineStr">
        <is>
          <t>Courses</t>
        </is>
      </c>
      <c r="C11" s="2" t="n">
        <v>350</v>
      </c>
      <c r="D11" s="2" t="n">
        <v>0</v>
      </c>
      <c r="E11" s="2">
        <f>C11-D11</f>
        <v/>
      </c>
    </row>
    <row r="12">
      <c r="A12" s="2" t="inlineStr">
        <is>
          <t>Février</t>
        </is>
      </c>
      <c r="B12" s="2" t="inlineStr">
        <is>
          <t>Transport</t>
        </is>
      </c>
      <c r="C12" s="2" t="n">
        <v>75</v>
      </c>
      <c r="D12" s="2" t="n">
        <v>0</v>
      </c>
      <c r="E12" s="2">
        <f>C12-D12</f>
        <v/>
      </c>
    </row>
    <row r="13">
      <c r="A13" s="2" t="inlineStr">
        <is>
          <t>Février</t>
        </is>
      </c>
      <c r="B13" s="2" t="inlineStr">
        <is>
          <t>Abonnements</t>
        </is>
      </c>
      <c r="C13" s="2" t="n">
        <v>60</v>
      </c>
      <c r="D13" s="2" t="n">
        <v>0</v>
      </c>
      <c r="E13" s="2">
        <f>C13-D13</f>
        <v/>
      </c>
    </row>
    <row r="14">
      <c r="A14" s="2" t="inlineStr">
        <is>
          <t>Février</t>
        </is>
      </c>
      <c r="B14" s="2" t="inlineStr">
        <is>
          <t>Santé</t>
        </is>
      </c>
      <c r="C14" s="2" t="n">
        <v>50</v>
      </c>
      <c r="D14" s="2" t="n">
        <v>0</v>
      </c>
      <c r="E14" s="2">
        <f>C14-D14</f>
        <v/>
      </c>
    </row>
    <row r="15">
      <c r="A15" s="2" t="inlineStr">
        <is>
          <t>Février</t>
        </is>
      </c>
      <c r="B15" s="2" t="inlineStr">
        <is>
          <t>Loisirs</t>
        </is>
      </c>
      <c r="C15" s="2" t="n">
        <v>100</v>
      </c>
      <c r="D15" s="2" t="n">
        <v>0</v>
      </c>
      <c r="E15" s="2">
        <f>C15-D15</f>
        <v/>
      </c>
    </row>
    <row r="16">
      <c r="A16" s="2" t="inlineStr">
        <is>
          <t>Février</t>
        </is>
      </c>
      <c r="B16" s="2" t="inlineStr">
        <is>
          <t>Shopping</t>
        </is>
      </c>
      <c r="C16" s="2" t="n">
        <v>80</v>
      </c>
      <c r="D16" s="2" t="n">
        <v>0</v>
      </c>
      <c r="E16" s="2">
        <f>C16-D16</f>
        <v/>
      </c>
    </row>
    <row r="17">
      <c r="A17" s="2" t="inlineStr">
        <is>
          <t>Février</t>
        </is>
      </c>
      <c r="B17" s="2" t="inlineStr">
        <is>
          <t>Épargne</t>
        </is>
      </c>
      <c r="C17" s="2" t="n">
        <v>150</v>
      </c>
      <c r="D17" s="2" t="n">
        <v>150</v>
      </c>
      <c r="E17" s="2">
        <f>C17-D17</f>
        <v/>
      </c>
    </row>
    <row r="18">
      <c r="A18" s="2" t="inlineStr">
        <is>
          <t>Mars</t>
        </is>
      </c>
      <c r="B18" s="2" t="inlineStr">
        <is>
          <t>Loyer</t>
        </is>
      </c>
      <c r="C18" s="2" t="n">
        <v>800</v>
      </c>
      <c r="D18" s="2" t="n">
        <v>0</v>
      </c>
      <c r="E18" s="2">
        <f>C18-D18</f>
        <v/>
      </c>
    </row>
    <row r="19">
      <c r="A19" s="2" t="inlineStr">
        <is>
          <t>Mars</t>
        </is>
      </c>
      <c r="B19" s="2" t="inlineStr">
        <is>
          <t>Courses</t>
        </is>
      </c>
      <c r="C19" s="2" t="n">
        <v>350</v>
      </c>
      <c r="D19" s="2" t="n">
        <v>0</v>
      </c>
      <c r="E19" s="2">
        <f>C19-D19</f>
        <v/>
      </c>
    </row>
    <row r="20">
      <c r="A20" s="2" t="inlineStr">
        <is>
          <t>Mars</t>
        </is>
      </c>
      <c r="B20" s="2" t="inlineStr">
        <is>
          <t>Transport</t>
        </is>
      </c>
      <c r="C20" s="2" t="n">
        <v>75</v>
      </c>
      <c r="D20" s="2" t="n">
        <v>0</v>
      </c>
      <c r="E20" s="2">
        <f>C20-D20</f>
        <v/>
      </c>
    </row>
    <row r="21">
      <c r="A21" s="2" t="inlineStr">
        <is>
          <t>Mars</t>
        </is>
      </c>
      <c r="B21" s="2" t="inlineStr">
        <is>
          <t>Abonnements</t>
        </is>
      </c>
      <c r="C21" s="2" t="n">
        <v>60</v>
      </c>
      <c r="D21" s="2" t="n">
        <v>0</v>
      </c>
      <c r="E21" s="2">
        <f>C21-D21</f>
        <v/>
      </c>
    </row>
    <row r="22">
      <c r="A22" s="2" t="inlineStr">
        <is>
          <t>Mars</t>
        </is>
      </c>
      <c r="B22" s="2" t="inlineStr">
        <is>
          <t>Santé</t>
        </is>
      </c>
      <c r="C22" s="2" t="n">
        <v>50</v>
      </c>
      <c r="D22" s="2" t="n">
        <v>0</v>
      </c>
      <c r="E22" s="2">
        <f>C22-D22</f>
        <v/>
      </c>
    </row>
    <row r="23">
      <c r="A23" s="2" t="inlineStr">
        <is>
          <t>Mars</t>
        </is>
      </c>
      <c r="B23" s="2" t="inlineStr">
        <is>
          <t>Loisirs</t>
        </is>
      </c>
      <c r="C23" s="2" t="n">
        <v>100</v>
      </c>
      <c r="D23" s="2" t="n">
        <v>0</v>
      </c>
      <c r="E23" s="2">
        <f>C23-D23</f>
        <v/>
      </c>
    </row>
    <row r="24">
      <c r="A24" s="2" t="inlineStr">
        <is>
          <t>Mars</t>
        </is>
      </c>
      <c r="B24" s="2" t="inlineStr">
        <is>
          <t>Shopping</t>
        </is>
      </c>
      <c r="C24" s="2" t="n">
        <v>80</v>
      </c>
      <c r="D24" s="2" t="n">
        <v>0</v>
      </c>
      <c r="E24" s="2">
        <f>C24-D24</f>
        <v/>
      </c>
    </row>
    <row r="25">
      <c r="A25" s="2" t="inlineStr">
        <is>
          <t>Mars</t>
        </is>
      </c>
      <c r="B25" s="2" t="inlineStr">
        <is>
          <t>Épargne</t>
        </is>
      </c>
      <c r="C25" s="2" t="n">
        <v>150</v>
      </c>
      <c r="D25" s="2" t="n">
        <v>150</v>
      </c>
      <c r="E25" s="2">
        <f>C25-D25</f>
        <v/>
      </c>
    </row>
    <row r="26">
      <c r="A26" s="2" t="inlineStr">
        <is>
          <t>Avril</t>
        </is>
      </c>
      <c r="B26" s="2" t="inlineStr">
        <is>
          <t>Loyer</t>
        </is>
      </c>
      <c r="C26" s="2" t="n">
        <v>800</v>
      </c>
      <c r="D26" s="2" t="n">
        <v>0</v>
      </c>
      <c r="E26" s="2">
        <f>C26-D26</f>
        <v/>
      </c>
    </row>
    <row r="27">
      <c r="A27" s="2" t="inlineStr">
        <is>
          <t>Avril</t>
        </is>
      </c>
      <c r="B27" s="2" t="inlineStr">
        <is>
          <t>Courses</t>
        </is>
      </c>
      <c r="C27" s="2" t="n">
        <v>350</v>
      </c>
      <c r="D27" s="2" t="n">
        <v>0</v>
      </c>
      <c r="E27" s="2">
        <f>C27-D27</f>
        <v/>
      </c>
    </row>
    <row r="28">
      <c r="A28" s="2" t="inlineStr">
        <is>
          <t>Avril</t>
        </is>
      </c>
      <c r="B28" s="2" t="inlineStr">
        <is>
          <t>Transport</t>
        </is>
      </c>
      <c r="C28" s="2" t="n">
        <v>75</v>
      </c>
      <c r="D28" s="2" t="n">
        <v>0</v>
      </c>
      <c r="E28" s="2">
        <f>C28-D28</f>
        <v/>
      </c>
    </row>
    <row r="29">
      <c r="A29" s="2" t="inlineStr">
        <is>
          <t>Avril</t>
        </is>
      </c>
      <c r="B29" s="2" t="inlineStr">
        <is>
          <t>Abonnements</t>
        </is>
      </c>
      <c r="C29" s="2" t="n">
        <v>60</v>
      </c>
      <c r="D29" s="2" t="n">
        <v>0</v>
      </c>
      <c r="E29" s="2">
        <f>C29-D29</f>
        <v/>
      </c>
    </row>
    <row r="30">
      <c r="A30" s="2" t="inlineStr">
        <is>
          <t>Avril</t>
        </is>
      </c>
      <c r="B30" s="2" t="inlineStr">
        <is>
          <t>Santé</t>
        </is>
      </c>
      <c r="C30" s="2" t="n">
        <v>50</v>
      </c>
      <c r="D30" s="2" t="n">
        <v>0</v>
      </c>
      <c r="E30" s="2">
        <f>C30-D30</f>
        <v/>
      </c>
    </row>
    <row r="31">
      <c r="A31" s="2" t="inlineStr">
        <is>
          <t>Avril</t>
        </is>
      </c>
      <c r="B31" s="2" t="inlineStr">
        <is>
          <t>Loisirs</t>
        </is>
      </c>
      <c r="C31" s="2" t="n">
        <v>100</v>
      </c>
      <c r="D31" s="2" t="n">
        <v>0</v>
      </c>
      <c r="E31" s="2">
        <f>C31-D31</f>
        <v/>
      </c>
    </row>
    <row r="32">
      <c r="A32" s="2" t="inlineStr">
        <is>
          <t>Avril</t>
        </is>
      </c>
      <c r="B32" s="2" t="inlineStr">
        <is>
          <t>Shopping</t>
        </is>
      </c>
      <c r="C32" s="2" t="n">
        <v>80</v>
      </c>
      <c r="D32" s="2" t="n">
        <v>0</v>
      </c>
      <c r="E32" s="2">
        <f>C32-D32</f>
        <v/>
      </c>
    </row>
    <row r="33">
      <c r="A33" s="2" t="inlineStr">
        <is>
          <t>Avril</t>
        </is>
      </c>
      <c r="B33" s="2" t="inlineStr">
        <is>
          <t>Épargne</t>
        </is>
      </c>
      <c r="C33" s="2" t="n">
        <v>150</v>
      </c>
      <c r="D33" s="2" t="n">
        <v>150</v>
      </c>
      <c r="E33" s="2">
        <f>C33-D33</f>
        <v/>
      </c>
    </row>
    <row r="34">
      <c r="A34" s="2" t="inlineStr">
        <is>
          <t>Mai</t>
        </is>
      </c>
      <c r="B34" s="2" t="inlineStr">
        <is>
          <t>Loyer</t>
        </is>
      </c>
      <c r="C34" s="2" t="n">
        <v>800</v>
      </c>
      <c r="D34" s="2" t="n">
        <v>0</v>
      </c>
      <c r="E34" s="2">
        <f>C34-D34</f>
        <v/>
      </c>
    </row>
    <row r="35">
      <c r="A35" s="2" t="inlineStr">
        <is>
          <t>Mai</t>
        </is>
      </c>
      <c r="B35" s="2" t="inlineStr">
        <is>
          <t>Courses</t>
        </is>
      </c>
      <c r="C35" s="2" t="n">
        <v>350</v>
      </c>
      <c r="D35" s="2" t="n">
        <v>0</v>
      </c>
      <c r="E35" s="2">
        <f>C35-D35</f>
        <v/>
      </c>
    </row>
    <row r="36">
      <c r="A36" s="2" t="inlineStr">
        <is>
          <t>Mai</t>
        </is>
      </c>
      <c r="B36" s="2" t="inlineStr">
        <is>
          <t>Transport</t>
        </is>
      </c>
      <c r="C36" s="2" t="n">
        <v>75</v>
      </c>
      <c r="D36" s="2" t="n">
        <v>0</v>
      </c>
      <c r="E36" s="2">
        <f>C36-D36</f>
        <v/>
      </c>
    </row>
    <row r="37">
      <c r="A37" s="2" t="inlineStr">
        <is>
          <t>Mai</t>
        </is>
      </c>
      <c r="B37" s="2" t="inlineStr">
        <is>
          <t>Abonnements</t>
        </is>
      </c>
      <c r="C37" s="2" t="n">
        <v>60</v>
      </c>
      <c r="D37" s="2" t="n">
        <v>0</v>
      </c>
      <c r="E37" s="2">
        <f>C37-D37</f>
        <v/>
      </c>
    </row>
    <row r="38">
      <c r="A38" s="2" t="inlineStr">
        <is>
          <t>Mai</t>
        </is>
      </c>
      <c r="B38" s="2" t="inlineStr">
        <is>
          <t>Santé</t>
        </is>
      </c>
      <c r="C38" s="2" t="n">
        <v>50</v>
      </c>
      <c r="D38" s="2" t="n">
        <v>0</v>
      </c>
      <c r="E38" s="2">
        <f>C38-D38</f>
        <v/>
      </c>
    </row>
    <row r="39">
      <c r="A39" s="2" t="inlineStr">
        <is>
          <t>Mai</t>
        </is>
      </c>
      <c r="B39" s="2" t="inlineStr">
        <is>
          <t>Loisirs</t>
        </is>
      </c>
      <c r="C39" s="2" t="n">
        <v>100</v>
      </c>
      <c r="D39" s="2" t="n">
        <v>0</v>
      </c>
      <c r="E39" s="2">
        <f>C39-D39</f>
        <v/>
      </c>
    </row>
    <row r="40">
      <c r="A40" s="2" t="inlineStr">
        <is>
          <t>Mai</t>
        </is>
      </c>
      <c r="B40" s="2" t="inlineStr">
        <is>
          <t>Shopping</t>
        </is>
      </c>
      <c r="C40" s="2" t="n">
        <v>80</v>
      </c>
      <c r="D40" s="2" t="n">
        <v>0</v>
      </c>
      <c r="E40" s="2">
        <f>C40-D40</f>
        <v/>
      </c>
    </row>
    <row r="41">
      <c r="A41" s="2" t="inlineStr">
        <is>
          <t>Mai</t>
        </is>
      </c>
      <c r="B41" s="2" t="inlineStr">
        <is>
          <t>Épargne</t>
        </is>
      </c>
      <c r="C41" s="2" t="n">
        <v>150</v>
      </c>
      <c r="D41" s="2" t="n">
        <v>150</v>
      </c>
      <c r="E41" s="2">
        <f>C41-D41</f>
        <v/>
      </c>
    </row>
    <row r="42">
      <c r="A42" s="2" t="inlineStr">
        <is>
          <t>Juin</t>
        </is>
      </c>
      <c r="B42" s="2" t="inlineStr">
        <is>
          <t>Loyer</t>
        </is>
      </c>
      <c r="C42" s="2" t="n">
        <v>800</v>
      </c>
      <c r="D42" s="2" t="n">
        <v>0</v>
      </c>
      <c r="E42" s="2">
        <f>C42-D42</f>
        <v/>
      </c>
    </row>
    <row r="43">
      <c r="A43" s="2" t="inlineStr">
        <is>
          <t>Juin</t>
        </is>
      </c>
      <c r="B43" s="2" t="inlineStr">
        <is>
          <t>Courses</t>
        </is>
      </c>
      <c r="C43" s="2" t="n">
        <v>350</v>
      </c>
      <c r="D43" s="2" t="n">
        <v>0</v>
      </c>
      <c r="E43" s="2">
        <f>C43-D43</f>
        <v/>
      </c>
    </row>
    <row r="44">
      <c r="A44" s="2" t="inlineStr">
        <is>
          <t>Juin</t>
        </is>
      </c>
      <c r="B44" s="2" t="inlineStr">
        <is>
          <t>Transport</t>
        </is>
      </c>
      <c r="C44" s="2" t="n">
        <v>75</v>
      </c>
      <c r="D44" s="2" t="n">
        <v>0</v>
      </c>
      <c r="E44" s="2">
        <f>C44-D44</f>
        <v/>
      </c>
    </row>
    <row r="45">
      <c r="A45" s="2" t="inlineStr">
        <is>
          <t>Juin</t>
        </is>
      </c>
      <c r="B45" s="2" t="inlineStr">
        <is>
          <t>Abonnements</t>
        </is>
      </c>
      <c r="C45" s="2" t="n">
        <v>60</v>
      </c>
      <c r="D45" s="2" t="n">
        <v>0</v>
      </c>
      <c r="E45" s="2">
        <f>C45-D45</f>
        <v/>
      </c>
    </row>
    <row r="46">
      <c r="A46" s="2" t="inlineStr">
        <is>
          <t>Juin</t>
        </is>
      </c>
      <c r="B46" s="2" t="inlineStr">
        <is>
          <t>Santé</t>
        </is>
      </c>
      <c r="C46" s="2" t="n">
        <v>50</v>
      </c>
      <c r="D46" s="2" t="n">
        <v>0</v>
      </c>
      <c r="E46" s="2">
        <f>C46-D46</f>
        <v/>
      </c>
    </row>
    <row r="47">
      <c r="A47" s="2" t="inlineStr">
        <is>
          <t>Juin</t>
        </is>
      </c>
      <c r="B47" s="2" t="inlineStr">
        <is>
          <t>Loisirs</t>
        </is>
      </c>
      <c r="C47" s="2" t="n">
        <v>100</v>
      </c>
      <c r="D47" s="2" t="n">
        <v>0</v>
      </c>
      <c r="E47" s="2">
        <f>C47-D47</f>
        <v/>
      </c>
    </row>
    <row r="48">
      <c r="A48" s="2" t="inlineStr">
        <is>
          <t>Juin</t>
        </is>
      </c>
      <c r="B48" s="2" t="inlineStr">
        <is>
          <t>Shopping</t>
        </is>
      </c>
      <c r="C48" s="2" t="n">
        <v>80</v>
      </c>
      <c r="D48" s="2" t="n">
        <v>0</v>
      </c>
      <c r="E48" s="2">
        <f>C48-D48</f>
        <v/>
      </c>
    </row>
    <row r="49">
      <c r="A49" s="2" t="inlineStr">
        <is>
          <t>Juin</t>
        </is>
      </c>
      <c r="B49" s="2" t="inlineStr">
        <is>
          <t>Épargne</t>
        </is>
      </c>
      <c r="C49" s="2" t="n">
        <v>150</v>
      </c>
      <c r="D49" s="2" t="n">
        <v>150</v>
      </c>
      <c r="E49" s="2">
        <f>C49-D49</f>
        <v/>
      </c>
    </row>
    <row r="50">
      <c r="A50" s="2" t="inlineStr">
        <is>
          <t>Juillet</t>
        </is>
      </c>
      <c r="B50" s="2" t="inlineStr">
        <is>
          <t>Loyer</t>
        </is>
      </c>
      <c r="C50" s="2" t="n">
        <v>800</v>
      </c>
      <c r="D50" s="2" t="n">
        <v>0</v>
      </c>
      <c r="E50" s="2">
        <f>C50-D50</f>
        <v/>
      </c>
    </row>
    <row r="51">
      <c r="A51" s="2" t="inlineStr">
        <is>
          <t>Juillet</t>
        </is>
      </c>
      <c r="B51" s="2" t="inlineStr">
        <is>
          <t>Courses</t>
        </is>
      </c>
      <c r="C51" s="2" t="n">
        <v>350</v>
      </c>
      <c r="D51" s="2" t="n">
        <v>0</v>
      </c>
      <c r="E51" s="2">
        <f>C51-D51</f>
        <v/>
      </c>
    </row>
    <row r="52">
      <c r="A52" s="2" t="inlineStr">
        <is>
          <t>Juillet</t>
        </is>
      </c>
      <c r="B52" s="2" t="inlineStr">
        <is>
          <t>Transport</t>
        </is>
      </c>
      <c r="C52" s="2" t="n">
        <v>75</v>
      </c>
      <c r="D52" s="2" t="n">
        <v>0</v>
      </c>
      <c r="E52" s="2">
        <f>C52-D52</f>
        <v/>
      </c>
    </row>
    <row r="53">
      <c r="A53" s="2" t="inlineStr">
        <is>
          <t>Juillet</t>
        </is>
      </c>
      <c r="B53" s="2" t="inlineStr">
        <is>
          <t>Abonnements</t>
        </is>
      </c>
      <c r="C53" s="2" t="n">
        <v>60</v>
      </c>
      <c r="D53" s="2" t="n">
        <v>0</v>
      </c>
      <c r="E53" s="2">
        <f>C53-D53</f>
        <v/>
      </c>
    </row>
    <row r="54">
      <c r="A54" s="2" t="inlineStr">
        <is>
          <t>Juillet</t>
        </is>
      </c>
      <c r="B54" s="2" t="inlineStr">
        <is>
          <t>Santé</t>
        </is>
      </c>
      <c r="C54" s="2" t="n">
        <v>50</v>
      </c>
      <c r="D54" s="2" t="n">
        <v>0</v>
      </c>
      <c r="E54" s="2">
        <f>C54-D54</f>
        <v/>
      </c>
    </row>
    <row r="55">
      <c r="A55" s="2" t="inlineStr">
        <is>
          <t>Juillet</t>
        </is>
      </c>
      <c r="B55" s="2" t="inlineStr">
        <is>
          <t>Loisirs</t>
        </is>
      </c>
      <c r="C55" s="2" t="n">
        <v>100</v>
      </c>
      <c r="D55" s="2" t="n">
        <v>0</v>
      </c>
      <c r="E55" s="2">
        <f>C55-D55</f>
        <v/>
      </c>
    </row>
    <row r="56">
      <c r="A56" s="2" t="inlineStr">
        <is>
          <t>Juillet</t>
        </is>
      </c>
      <c r="B56" s="2" t="inlineStr">
        <is>
          <t>Shopping</t>
        </is>
      </c>
      <c r="C56" s="2" t="n">
        <v>80</v>
      </c>
      <c r="D56" s="2" t="n">
        <v>0</v>
      </c>
      <c r="E56" s="2">
        <f>C56-D56</f>
        <v/>
      </c>
    </row>
    <row r="57">
      <c r="A57" s="2" t="inlineStr">
        <is>
          <t>Juillet</t>
        </is>
      </c>
      <c r="B57" s="2" t="inlineStr">
        <is>
          <t>Épargne</t>
        </is>
      </c>
      <c r="C57" s="2" t="n">
        <v>150</v>
      </c>
      <c r="D57" s="2" t="n">
        <v>150</v>
      </c>
      <c r="E57" s="2">
        <f>C57-D57</f>
        <v/>
      </c>
    </row>
    <row r="58">
      <c r="A58" s="2" t="inlineStr">
        <is>
          <t>Août</t>
        </is>
      </c>
      <c r="B58" s="2" t="inlineStr">
        <is>
          <t>Loyer</t>
        </is>
      </c>
      <c r="C58" s="2" t="n">
        <v>800</v>
      </c>
      <c r="D58" s="2" t="n">
        <v>0</v>
      </c>
      <c r="E58" s="2">
        <f>C58-D58</f>
        <v/>
      </c>
    </row>
    <row r="59">
      <c r="A59" s="2" t="inlineStr">
        <is>
          <t>Août</t>
        </is>
      </c>
      <c r="B59" s="2" t="inlineStr">
        <is>
          <t>Courses</t>
        </is>
      </c>
      <c r="C59" s="2" t="n">
        <v>350</v>
      </c>
      <c r="D59" s="2" t="n">
        <v>0</v>
      </c>
      <c r="E59" s="2">
        <f>C59-D59</f>
        <v/>
      </c>
    </row>
    <row r="60">
      <c r="A60" s="2" t="inlineStr">
        <is>
          <t>Août</t>
        </is>
      </c>
      <c r="B60" s="2" t="inlineStr">
        <is>
          <t>Transport</t>
        </is>
      </c>
      <c r="C60" s="2" t="n">
        <v>75</v>
      </c>
      <c r="D60" s="2" t="n">
        <v>0</v>
      </c>
      <c r="E60" s="2">
        <f>C60-D60</f>
        <v/>
      </c>
    </row>
    <row r="61">
      <c r="A61" s="2" t="inlineStr">
        <is>
          <t>Août</t>
        </is>
      </c>
      <c r="B61" s="2" t="inlineStr">
        <is>
          <t>Abonnements</t>
        </is>
      </c>
      <c r="C61" s="2" t="n">
        <v>60</v>
      </c>
      <c r="D61" s="2" t="n">
        <v>0</v>
      </c>
      <c r="E61" s="2">
        <f>C61-D61</f>
        <v/>
      </c>
    </row>
    <row r="62">
      <c r="A62" s="2" t="inlineStr">
        <is>
          <t>Août</t>
        </is>
      </c>
      <c r="B62" s="2" t="inlineStr">
        <is>
          <t>Santé</t>
        </is>
      </c>
      <c r="C62" s="2" t="n">
        <v>50</v>
      </c>
      <c r="D62" s="2" t="n">
        <v>0</v>
      </c>
      <c r="E62" s="2">
        <f>C62-D62</f>
        <v/>
      </c>
    </row>
    <row r="63">
      <c r="A63" s="2" t="inlineStr">
        <is>
          <t>Août</t>
        </is>
      </c>
      <c r="B63" s="2" t="inlineStr">
        <is>
          <t>Loisirs</t>
        </is>
      </c>
      <c r="C63" s="2" t="n">
        <v>100</v>
      </c>
      <c r="D63" s="2" t="n">
        <v>0</v>
      </c>
      <c r="E63" s="2">
        <f>C63-D63</f>
        <v/>
      </c>
    </row>
    <row r="64">
      <c r="A64" s="2" t="inlineStr">
        <is>
          <t>Août</t>
        </is>
      </c>
      <c r="B64" s="2" t="inlineStr">
        <is>
          <t>Shopping</t>
        </is>
      </c>
      <c r="C64" s="2" t="n">
        <v>80</v>
      </c>
      <c r="D64" s="2" t="n">
        <v>0</v>
      </c>
      <c r="E64" s="2">
        <f>C64-D64</f>
        <v/>
      </c>
    </row>
    <row r="65">
      <c r="A65" s="2" t="inlineStr">
        <is>
          <t>Août</t>
        </is>
      </c>
      <c r="B65" s="2" t="inlineStr">
        <is>
          <t>Épargne</t>
        </is>
      </c>
      <c r="C65" s="2" t="n">
        <v>150</v>
      </c>
      <c r="D65" s="2" t="n">
        <v>150</v>
      </c>
      <c r="E65" s="2">
        <f>C65-D65</f>
        <v/>
      </c>
    </row>
    <row r="66">
      <c r="A66" s="2" t="inlineStr">
        <is>
          <t>Septembre</t>
        </is>
      </c>
      <c r="B66" s="2" t="inlineStr">
        <is>
          <t>Loyer</t>
        </is>
      </c>
      <c r="C66" s="2" t="n">
        <v>800</v>
      </c>
      <c r="D66" s="2" t="n">
        <v>0</v>
      </c>
      <c r="E66" s="2">
        <f>C66-D66</f>
        <v/>
      </c>
    </row>
    <row r="67">
      <c r="A67" s="2" t="inlineStr">
        <is>
          <t>Septembre</t>
        </is>
      </c>
      <c r="B67" s="2" t="inlineStr">
        <is>
          <t>Courses</t>
        </is>
      </c>
      <c r="C67" s="2" t="n">
        <v>350</v>
      </c>
      <c r="D67" s="2" t="n">
        <v>0</v>
      </c>
      <c r="E67" s="2">
        <f>C67-D67</f>
        <v/>
      </c>
    </row>
    <row r="68">
      <c r="A68" s="2" t="inlineStr">
        <is>
          <t>Septembre</t>
        </is>
      </c>
      <c r="B68" s="2" t="inlineStr">
        <is>
          <t>Transport</t>
        </is>
      </c>
      <c r="C68" s="2" t="n">
        <v>75</v>
      </c>
      <c r="D68" s="2" t="n">
        <v>0</v>
      </c>
      <c r="E68" s="2">
        <f>C68-D68</f>
        <v/>
      </c>
    </row>
    <row r="69">
      <c r="A69" s="2" t="inlineStr">
        <is>
          <t>Septembre</t>
        </is>
      </c>
      <c r="B69" s="2" t="inlineStr">
        <is>
          <t>Abonnements</t>
        </is>
      </c>
      <c r="C69" s="2" t="n">
        <v>60</v>
      </c>
      <c r="D69" s="2" t="n">
        <v>0</v>
      </c>
      <c r="E69" s="2">
        <f>C69-D69</f>
        <v/>
      </c>
    </row>
    <row r="70">
      <c r="A70" s="2" t="inlineStr">
        <is>
          <t>Septembre</t>
        </is>
      </c>
      <c r="B70" s="2" t="inlineStr">
        <is>
          <t>Santé</t>
        </is>
      </c>
      <c r="C70" s="2" t="n">
        <v>50</v>
      </c>
      <c r="D70" s="2" t="n">
        <v>0</v>
      </c>
      <c r="E70" s="2">
        <f>C70-D70</f>
        <v/>
      </c>
    </row>
    <row r="71">
      <c r="A71" s="2" t="inlineStr">
        <is>
          <t>Septembre</t>
        </is>
      </c>
      <c r="B71" s="2" t="inlineStr">
        <is>
          <t>Loisirs</t>
        </is>
      </c>
      <c r="C71" s="2" t="n">
        <v>100</v>
      </c>
      <c r="D71" s="2" t="n">
        <v>0</v>
      </c>
      <c r="E71" s="2">
        <f>C71-D71</f>
        <v/>
      </c>
    </row>
    <row r="72">
      <c r="A72" s="2" t="inlineStr">
        <is>
          <t>Septembre</t>
        </is>
      </c>
      <c r="B72" s="2" t="inlineStr">
        <is>
          <t>Shopping</t>
        </is>
      </c>
      <c r="C72" s="2" t="n">
        <v>80</v>
      </c>
      <c r="D72" s="2" t="n">
        <v>0</v>
      </c>
      <c r="E72" s="2">
        <f>C72-D72</f>
        <v/>
      </c>
    </row>
    <row r="73">
      <c r="A73" s="2" t="inlineStr">
        <is>
          <t>Septembre</t>
        </is>
      </c>
      <c r="B73" s="2" t="inlineStr">
        <is>
          <t>Épargne</t>
        </is>
      </c>
      <c r="C73" s="2" t="n">
        <v>150</v>
      </c>
      <c r="D73" s="2" t="n">
        <v>150</v>
      </c>
      <c r="E73" s="2">
        <f>C73-D73</f>
        <v/>
      </c>
    </row>
    <row r="74">
      <c r="A74" s="2" t="inlineStr">
        <is>
          <t>Octobre</t>
        </is>
      </c>
      <c r="B74" s="2" t="inlineStr">
        <is>
          <t>Loyer</t>
        </is>
      </c>
      <c r="C74" s="2" t="n">
        <v>800</v>
      </c>
      <c r="D74" s="2" t="n">
        <v>0</v>
      </c>
      <c r="E74" s="2">
        <f>C74-D74</f>
        <v/>
      </c>
    </row>
    <row r="75">
      <c r="A75" s="2" t="inlineStr">
        <is>
          <t>Octobre</t>
        </is>
      </c>
      <c r="B75" s="2" t="inlineStr">
        <is>
          <t>Courses</t>
        </is>
      </c>
      <c r="C75" s="2" t="n">
        <v>350</v>
      </c>
      <c r="D75" s="2" t="n">
        <v>0</v>
      </c>
      <c r="E75" s="2">
        <f>C75-D75</f>
        <v/>
      </c>
    </row>
    <row r="76">
      <c r="A76" s="2" t="inlineStr">
        <is>
          <t>Octobre</t>
        </is>
      </c>
      <c r="B76" s="2" t="inlineStr">
        <is>
          <t>Transport</t>
        </is>
      </c>
      <c r="C76" s="2" t="n">
        <v>75</v>
      </c>
      <c r="D76" s="2" t="n">
        <v>0</v>
      </c>
      <c r="E76" s="2">
        <f>C76-D76</f>
        <v/>
      </c>
    </row>
    <row r="77">
      <c r="A77" s="2" t="inlineStr">
        <is>
          <t>Octobre</t>
        </is>
      </c>
      <c r="B77" s="2" t="inlineStr">
        <is>
          <t>Abonnements</t>
        </is>
      </c>
      <c r="C77" s="2" t="n">
        <v>60</v>
      </c>
      <c r="D77" s="2" t="n">
        <v>0</v>
      </c>
      <c r="E77" s="2">
        <f>C77-D77</f>
        <v/>
      </c>
    </row>
    <row r="78">
      <c r="A78" s="2" t="inlineStr">
        <is>
          <t>Octobre</t>
        </is>
      </c>
      <c r="B78" s="2" t="inlineStr">
        <is>
          <t>Santé</t>
        </is>
      </c>
      <c r="C78" s="2" t="n">
        <v>50</v>
      </c>
      <c r="D78" s="2" t="n">
        <v>0</v>
      </c>
      <c r="E78" s="2">
        <f>C78-D78</f>
        <v/>
      </c>
    </row>
    <row r="79">
      <c r="A79" s="2" t="inlineStr">
        <is>
          <t>Octobre</t>
        </is>
      </c>
      <c r="B79" s="2" t="inlineStr">
        <is>
          <t>Loisirs</t>
        </is>
      </c>
      <c r="C79" s="2" t="n">
        <v>100</v>
      </c>
      <c r="D79" s="2" t="n">
        <v>0</v>
      </c>
      <c r="E79" s="2">
        <f>C79-D79</f>
        <v/>
      </c>
    </row>
    <row r="80">
      <c r="A80" s="2" t="inlineStr">
        <is>
          <t>Octobre</t>
        </is>
      </c>
      <c r="B80" s="2" t="inlineStr">
        <is>
          <t>Shopping</t>
        </is>
      </c>
      <c r="C80" s="2" t="n">
        <v>80</v>
      </c>
      <c r="D80" s="2" t="n">
        <v>0</v>
      </c>
      <c r="E80" s="2">
        <f>C80-D80</f>
        <v/>
      </c>
    </row>
    <row r="81">
      <c r="A81" s="2" t="inlineStr">
        <is>
          <t>Octobre</t>
        </is>
      </c>
      <c r="B81" s="2" t="inlineStr">
        <is>
          <t>Épargne</t>
        </is>
      </c>
      <c r="C81" s="2" t="n">
        <v>150</v>
      </c>
      <c r="D81" s="2" t="n">
        <v>150</v>
      </c>
      <c r="E81" s="2">
        <f>C81-D81</f>
        <v/>
      </c>
    </row>
    <row r="82">
      <c r="A82" s="2" t="inlineStr">
        <is>
          <t>Novembre</t>
        </is>
      </c>
      <c r="B82" s="2" t="inlineStr">
        <is>
          <t>Loyer</t>
        </is>
      </c>
      <c r="C82" s="2" t="n">
        <v>800</v>
      </c>
      <c r="D82" s="2" t="n">
        <v>0</v>
      </c>
      <c r="E82" s="2">
        <f>C82-D82</f>
        <v/>
      </c>
    </row>
    <row r="83">
      <c r="A83" s="2" t="inlineStr">
        <is>
          <t>Novembre</t>
        </is>
      </c>
      <c r="B83" s="2" t="inlineStr">
        <is>
          <t>Courses</t>
        </is>
      </c>
      <c r="C83" s="2" t="n">
        <v>350</v>
      </c>
      <c r="D83" s="2" t="n">
        <v>0</v>
      </c>
      <c r="E83" s="2">
        <f>C83-D83</f>
        <v/>
      </c>
    </row>
    <row r="84">
      <c r="A84" s="2" t="inlineStr">
        <is>
          <t>Novembre</t>
        </is>
      </c>
      <c r="B84" s="2" t="inlineStr">
        <is>
          <t>Transport</t>
        </is>
      </c>
      <c r="C84" s="2" t="n">
        <v>75</v>
      </c>
      <c r="D84" s="2" t="n">
        <v>0</v>
      </c>
      <c r="E84" s="2">
        <f>C84-D84</f>
        <v/>
      </c>
    </row>
    <row r="85">
      <c r="A85" s="2" t="inlineStr">
        <is>
          <t>Novembre</t>
        </is>
      </c>
      <c r="B85" s="2" t="inlineStr">
        <is>
          <t>Abonnements</t>
        </is>
      </c>
      <c r="C85" s="2" t="n">
        <v>60</v>
      </c>
      <c r="D85" s="2" t="n">
        <v>0</v>
      </c>
      <c r="E85" s="2">
        <f>C85-D85</f>
        <v/>
      </c>
    </row>
    <row r="86">
      <c r="A86" s="2" t="inlineStr">
        <is>
          <t>Novembre</t>
        </is>
      </c>
      <c r="B86" s="2" t="inlineStr">
        <is>
          <t>Santé</t>
        </is>
      </c>
      <c r="C86" s="2" t="n">
        <v>50</v>
      </c>
      <c r="D86" s="2" t="n">
        <v>0</v>
      </c>
      <c r="E86" s="2">
        <f>C86-D86</f>
        <v/>
      </c>
    </row>
    <row r="87">
      <c r="A87" s="2" t="inlineStr">
        <is>
          <t>Novembre</t>
        </is>
      </c>
      <c r="B87" s="2" t="inlineStr">
        <is>
          <t>Loisirs</t>
        </is>
      </c>
      <c r="C87" s="2" t="n">
        <v>100</v>
      </c>
      <c r="D87" s="2" t="n">
        <v>0</v>
      </c>
      <c r="E87" s="2">
        <f>C87-D87</f>
        <v/>
      </c>
    </row>
    <row r="88">
      <c r="A88" s="2" t="inlineStr">
        <is>
          <t>Novembre</t>
        </is>
      </c>
      <c r="B88" s="2" t="inlineStr">
        <is>
          <t>Shopping</t>
        </is>
      </c>
      <c r="C88" s="2" t="n">
        <v>80</v>
      </c>
      <c r="D88" s="2" t="n">
        <v>0</v>
      </c>
      <c r="E88" s="2">
        <f>C88-D88</f>
        <v/>
      </c>
    </row>
    <row r="89">
      <c r="A89" s="2" t="inlineStr">
        <is>
          <t>Novembre</t>
        </is>
      </c>
      <c r="B89" s="2" t="inlineStr">
        <is>
          <t>Épargne</t>
        </is>
      </c>
      <c r="C89" s="2" t="n">
        <v>150</v>
      </c>
      <c r="D89" s="2" t="n">
        <v>150</v>
      </c>
      <c r="E89" s="2">
        <f>C89-D89</f>
        <v/>
      </c>
    </row>
    <row r="90">
      <c r="A90" s="2" t="inlineStr">
        <is>
          <t>Décembre</t>
        </is>
      </c>
      <c r="B90" s="2" t="inlineStr">
        <is>
          <t>Loyer</t>
        </is>
      </c>
      <c r="C90" s="2" t="n">
        <v>800</v>
      </c>
      <c r="D90" s="2" t="n">
        <v>0</v>
      </c>
      <c r="E90" s="2">
        <f>C90-D90</f>
        <v/>
      </c>
    </row>
    <row r="91">
      <c r="A91" s="2" t="inlineStr">
        <is>
          <t>Décembre</t>
        </is>
      </c>
      <c r="B91" s="2" t="inlineStr">
        <is>
          <t>Courses</t>
        </is>
      </c>
      <c r="C91" s="2" t="n">
        <v>350</v>
      </c>
      <c r="D91" s="2" t="n">
        <v>0</v>
      </c>
      <c r="E91" s="2">
        <f>C91-D91</f>
        <v/>
      </c>
    </row>
    <row r="92">
      <c r="A92" s="2" t="inlineStr">
        <is>
          <t>Décembre</t>
        </is>
      </c>
      <c r="B92" s="2" t="inlineStr">
        <is>
          <t>Transport</t>
        </is>
      </c>
      <c r="C92" s="2" t="n">
        <v>75</v>
      </c>
      <c r="D92" s="2" t="n">
        <v>0</v>
      </c>
      <c r="E92" s="2">
        <f>C92-D92</f>
        <v/>
      </c>
    </row>
    <row r="93">
      <c r="A93" s="2" t="inlineStr">
        <is>
          <t>Décembre</t>
        </is>
      </c>
      <c r="B93" s="2" t="inlineStr">
        <is>
          <t>Abonnements</t>
        </is>
      </c>
      <c r="C93" s="2" t="n">
        <v>60</v>
      </c>
      <c r="D93" s="2" t="n">
        <v>0</v>
      </c>
      <c r="E93" s="2">
        <f>C93-D93</f>
        <v/>
      </c>
    </row>
    <row r="94">
      <c r="A94" s="2" t="inlineStr">
        <is>
          <t>Décembre</t>
        </is>
      </c>
      <c r="B94" s="2" t="inlineStr">
        <is>
          <t>Santé</t>
        </is>
      </c>
      <c r="C94" s="2" t="n">
        <v>50</v>
      </c>
      <c r="D94" s="2" t="n">
        <v>0</v>
      </c>
      <c r="E94" s="2">
        <f>C94-D94</f>
        <v/>
      </c>
    </row>
    <row r="95">
      <c r="A95" s="2" t="inlineStr">
        <is>
          <t>Décembre</t>
        </is>
      </c>
      <c r="B95" s="2" t="inlineStr">
        <is>
          <t>Loisirs</t>
        </is>
      </c>
      <c r="C95" s="2" t="n">
        <v>100</v>
      </c>
      <c r="D95" s="2" t="n">
        <v>0</v>
      </c>
      <c r="E95" s="2">
        <f>C95-D95</f>
        <v/>
      </c>
    </row>
    <row r="96">
      <c r="A96" s="2" t="inlineStr">
        <is>
          <t>Décembre</t>
        </is>
      </c>
      <c r="B96" s="2" t="inlineStr">
        <is>
          <t>Shopping</t>
        </is>
      </c>
      <c r="C96" s="2" t="n">
        <v>80</v>
      </c>
      <c r="D96" s="2" t="n">
        <v>0</v>
      </c>
      <c r="E96" s="2">
        <f>C96-D96</f>
        <v/>
      </c>
    </row>
    <row r="97">
      <c r="A97" s="2" t="inlineStr">
        <is>
          <t>Décembre</t>
        </is>
      </c>
      <c r="B97" s="2" t="inlineStr">
        <is>
          <t>Épargne</t>
        </is>
      </c>
      <c r="C97" s="2" t="n">
        <v>150</v>
      </c>
      <c r="D97" s="2" t="n">
        <v>150</v>
      </c>
      <c r="E97" s="2">
        <f>C97-D97</f>
        <v/>
      </c>
    </row>
    <row r="98">
      <c r="A98" s="3" t="inlineStr">
        <is>
          <t>TOTAL ANNÉE</t>
        </is>
      </c>
      <c r="B98" s="3" t="inlineStr"/>
      <c r="C98" s="3">
        <f>SUM(C2:C97)</f>
        <v/>
      </c>
      <c r="D98" s="3">
        <f>SUM(D2:D97)</f>
        <v/>
      </c>
      <c r="E98" s="3">
        <f>SUM(E2:E97)</f>
        <v/>
      </c>
    </row>
  </sheetData>
  <autoFilter ref="A1:E97"/>
  <conditionalFormatting sqref="E2:E9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Comment utiliser ce budget (2 min)</t>
        </is>
      </c>
    </row>
    <row r="3">
      <c r="A3" t="inlineStr">
        <is>
          <t>1. Chaque mois, remplis la colonne Réel (€) avec ce que tu as vraiment dépensé.</t>
        </is>
      </c>
    </row>
    <row r="4">
      <c r="A4" t="inlineStr">
        <is>
          <t>2. La colonne Écart se calcule seule : rouge = dépassement, vert = sous le budget.</t>
        </is>
      </c>
    </row>
    <row r="5">
      <c r="A5" t="inlineStr">
        <is>
          <t>3. La ligne TOTAL ANNÉE additionne tout automatiquement.</t>
        </is>
      </c>
    </row>
    <row r="6">
      <c r="A6" t="inlineStr">
        <is>
          <t>4. Adapte les montants Prévu à ta vie (colonne C).</t>
        </is>
      </c>
    </row>
    <row r="7">
      <c r="A7" t="inlineStr">
        <is>
          <t>5. Objectif simple : Épargne réelle &gt; 0 tous les mois.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4" t="inlineStr">
        <is>
          <t>Dépenses annuelles par catégorie (Réel)</t>
        </is>
      </c>
    </row>
    <row r="3">
      <c r="A3" s="5" t="inlineStr">
        <is>
          <t>Catégorie</t>
        </is>
      </c>
      <c r="B3" s="5" t="inlineStr">
        <is>
          <t>Prévu (€)</t>
        </is>
      </c>
      <c r="C3" s="5" t="inlineStr">
        <is>
          <t>Réel (€)</t>
        </is>
      </c>
    </row>
    <row r="4">
      <c r="A4" s="2" t="inlineStr">
        <is>
          <t>Loyer</t>
        </is>
      </c>
      <c r="B4" s="2">
        <f>SUMIF('Budget 2026'!B2:B97,A4,'Budget 2026'!C2:C97)</f>
        <v/>
      </c>
      <c r="C4" s="2">
        <f>SUMIF('Budget 2026'!B2:B97,A4,'Budget 2026'!D2:D97)</f>
        <v/>
      </c>
    </row>
    <row r="5">
      <c r="A5" s="2" t="inlineStr">
        <is>
          <t>Courses</t>
        </is>
      </c>
      <c r="B5" s="2">
        <f>SUMIF('Budget 2026'!B2:B97,A5,'Budget 2026'!C2:C97)</f>
        <v/>
      </c>
      <c r="C5" s="2">
        <f>SUMIF('Budget 2026'!B2:B97,A5,'Budget 2026'!D2:D97)</f>
        <v/>
      </c>
    </row>
    <row r="6">
      <c r="A6" s="2" t="inlineStr">
        <is>
          <t>Transport</t>
        </is>
      </c>
      <c r="B6" s="2">
        <f>SUMIF('Budget 2026'!B2:B97,A6,'Budget 2026'!C2:C97)</f>
        <v/>
      </c>
      <c r="C6" s="2">
        <f>SUMIF('Budget 2026'!B2:B97,A6,'Budget 2026'!D2:D97)</f>
        <v/>
      </c>
    </row>
    <row r="7">
      <c r="A7" s="2" t="inlineStr">
        <is>
          <t>Abonnements</t>
        </is>
      </c>
      <c r="B7" s="2">
        <f>SUMIF('Budget 2026'!B2:B97,A7,'Budget 2026'!C2:C97)</f>
        <v/>
      </c>
      <c r="C7" s="2">
        <f>SUMIF('Budget 2026'!B2:B97,A7,'Budget 2026'!D2:D97)</f>
        <v/>
      </c>
    </row>
    <row r="8">
      <c r="A8" s="2" t="inlineStr">
        <is>
          <t>Santé</t>
        </is>
      </c>
      <c r="B8" s="2">
        <f>SUMIF('Budget 2026'!B2:B97,A8,'Budget 2026'!C2:C97)</f>
        <v/>
      </c>
      <c r="C8" s="2">
        <f>SUMIF('Budget 2026'!B2:B97,A8,'Budget 2026'!D2:D97)</f>
        <v/>
      </c>
    </row>
    <row r="9">
      <c r="A9" s="2" t="inlineStr">
        <is>
          <t>Loisirs</t>
        </is>
      </c>
      <c r="B9" s="2">
        <f>SUMIF('Budget 2026'!B2:B97,A9,'Budget 2026'!C2:C97)</f>
        <v/>
      </c>
      <c r="C9" s="2">
        <f>SUMIF('Budget 2026'!B2:B97,A9,'Budget 2026'!D2:D97)</f>
        <v/>
      </c>
    </row>
    <row r="10">
      <c r="A10" s="2" t="inlineStr">
        <is>
          <t>Shopping</t>
        </is>
      </c>
      <c r="B10" s="2">
        <f>SUMIF('Budget 2026'!B2:B97,A10,'Budget 2026'!C2:C97)</f>
        <v/>
      </c>
      <c r="C10" s="2">
        <f>SUMIF('Budget 2026'!B2:B97,A10,'Budget 2026'!D2:D97)</f>
        <v/>
      </c>
    </row>
    <row r="11">
      <c r="A11" s="2" t="inlineStr">
        <is>
          <t>Épargne</t>
        </is>
      </c>
      <c r="B11" s="2">
        <f>SUMIF('Budget 2026'!B2:B97,A11,'Budget 2026'!C2:C97)</f>
        <v/>
      </c>
      <c r="C11" s="2">
        <f>SUMIF('Budget 2026'!B2:B97,A11,'Budget 2026'!D2:D97)</f>
        <v/>
      </c>
    </row>
    <row r="12">
      <c r="A12" s="6" t="inlineStr">
        <is>
          <t>TOTAL</t>
        </is>
      </c>
      <c r="B12" s="6">
        <f>SUM(B4:B11)</f>
        <v/>
      </c>
      <c r="C12" s="6">
        <f>SUM(C4:C11)</f>
        <v/>
      </c>
    </row>
    <row r="14">
      <c r="A14" s="7" t="inlineStr">
        <is>
          <t>Taux d'épargne réel</t>
        </is>
      </c>
      <c r="C14" s="8">
        <f>SUMIF('Budget 2026'!B2:B97,"Épargne",'Budget 2026'!D2:D97)/C12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8" customWidth="1" min="4" max="4"/>
    <col width="22" customWidth="1" min="5" max="5"/>
  </cols>
  <sheetData>
    <row r="1">
      <c r="A1" s="9" t="inlineStr">
        <is>
          <t>Tous tes abonnements : garde ou résilie (l'économie se calcule seule)</t>
        </is>
      </c>
    </row>
    <row r="3">
      <c r="A3" s="1" t="inlineStr">
        <is>
          <t>Service</t>
        </is>
      </c>
      <c r="B3" s="1" t="inlineStr">
        <is>
          <t>€ / mois</t>
        </is>
      </c>
      <c r="C3" s="1" t="inlineStr">
        <is>
          <t>€ / an</t>
        </is>
      </c>
      <c r="D3" s="1" t="inlineStr">
        <is>
          <t>Je garde ? (Oui/Non)</t>
        </is>
      </c>
      <c r="E3" s="1" t="inlineStr">
        <is>
          <t>Économisé si résilié</t>
        </is>
      </c>
    </row>
    <row r="4">
      <c r="A4" s="2" t="inlineStr">
        <is>
          <t>Netflix</t>
        </is>
      </c>
      <c r="B4" s="2" t="n">
        <v>13.49</v>
      </c>
      <c r="C4" s="2">
        <f>B4*12</f>
        <v/>
      </c>
      <c r="D4" s="2" t="inlineStr">
        <is>
          <t>Oui</t>
        </is>
      </c>
      <c r="E4" s="10">
        <f>IF(D4="Non",C4,0)</f>
        <v/>
      </c>
    </row>
    <row r="5">
      <c r="A5" s="2" t="inlineStr">
        <is>
          <t>Spotify</t>
        </is>
      </c>
      <c r="B5" s="2" t="n">
        <v>11.12</v>
      </c>
      <c r="C5" s="2">
        <f>B5*12</f>
        <v/>
      </c>
      <c r="D5" s="2" t="inlineStr">
        <is>
          <t>Oui</t>
        </is>
      </c>
      <c r="E5" s="10">
        <f>IF(D5="Non",C5,0)</f>
        <v/>
      </c>
    </row>
    <row r="6">
      <c r="A6" s="2" t="inlineStr">
        <is>
          <t>Salle de sport</t>
        </is>
      </c>
      <c r="B6" s="2" t="n">
        <v>30</v>
      </c>
      <c r="C6" s="2">
        <f>B6*12</f>
        <v/>
      </c>
      <c r="D6" s="2" t="inlineStr">
        <is>
          <t>Oui</t>
        </is>
      </c>
      <c r="E6" s="10">
        <f>IF(D6="Non",C6,0)</f>
        <v/>
      </c>
    </row>
    <row r="7">
      <c r="A7" s="2" t="inlineStr">
        <is>
          <t>Stockage cloud</t>
        </is>
      </c>
      <c r="B7" s="2" t="n">
        <v>2.99</v>
      </c>
      <c r="C7" s="2">
        <f>B7*12</f>
        <v/>
      </c>
      <c r="D7" s="2" t="inlineStr">
        <is>
          <t>Oui</t>
        </is>
      </c>
      <c r="E7" s="10">
        <f>IF(D7="Non",C7,0)</f>
        <v/>
      </c>
    </row>
    <row r="8">
      <c r="A8" s="2" t="inlineStr">
        <is>
          <t>À compléter</t>
        </is>
      </c>
      <c r="B8" s="2" t="n">
        <v>0</v>
      </c>
      <c r="C8" s="2">
        <f>B8*12</f>
        <v/>
      </c>
      <c r="D8" s="2" t="inlineStr">
        <is>
          <t>Oui</t>
        </is>
      </c>
      <c r="E8" s="10">
        <f>IF(D8="Non",C8,0)</f>
        <v/>
      </c>
    </row>
    <row r="10">
      <c r="A10" s="7" t="inlineStr">
        <is>
          <t>ÉCONOMIE ANNUELLE SI RÉSILIATION</t>
        </is>
      </c>
      <c r="E10" s="11">
        <f>SUM(E4:E9)</f>
        <v/>
      </c>
    </row>
  </sheetData>
  <dataValidations count="1">
    <dataValidation sqref="D4:D9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2026-10-23T11:27:45Z</dcterms:created>
  <dcterms:modified xsi:type="dcterms:W3CDTF">2026-10-23T11:27:45Z</dcterms:modified>
</cp:coreProperties>
</file>